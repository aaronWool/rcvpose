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.cw\work\rcvpose\frontend_test\"/>
    </mc:Choice>
  </mc:AlternateContent>
  <xr:revisionPtr revIDLastSave="0" documentId="13_ncr:1_{6B6540A8-2D99-4DC6-96CF-888E98862053}" xr6:coauthVersionLast="47" xr6:coauthVersionMax="47" xr10:uidLastSave="{00000000-0000-0000-0000-000000000000}"/>
  <bookViews>
    <workbookView xWindow="-96" yWindow="-96" windowWidth="23232" windowHeight="12432" xr2:uid="{3F0C926E-97C2-4739-9077-2766665C26F2}"/>
  </bookViews>
  <sheets>
    <sheet name="RANSAC" sheetId="1" r:id="rId1"/>
    <sheet name="Testing Environment Spec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4" i="1" l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2" i="1"/>
  <c r="S13" i="1"/>
  <c r="S14" i="1"/>
  <c r="S15" i="1"/>
  <c r="S16" i="1"/>
  <c r="S10" i="1"/>
  <c r="S9" i="1"/>
  <c r="S8" i="1"/>
  <c r="S11" i="1"/>
  <c r="S6" i="1"/>
  <c r="S7" i="1"/>
  <c r="S5" i="1"/>
</calcChain>
</file>

<file path=xl/sharedStrings.xml><?xml version="1.0" encoding="utf-8"?>
<sst xmlns="http://schemas.openxmlformats.org/spreadsheetml/2006/main" count="67" uniqueCount="34">
  <si>
    <t>Mode</t>
  </si>
  <si>
    <t>Object</t>
  </si>
  <si>
    <t>ape</t>
  </si>
  <si>
    <t xml:space="preserve">can </t>
  </si>
  <si>
    <t xml:space="preserve">cat </t>
  </si>
  <si>
    <t>duck</t>
  </si>
  <si>
    <t>camera</t>
  </si>
  <si>
    <t>benchvise</t>
  </si>
  <si>
    <t>driller</t>
  </si>
  <si>
    <t>eggbox</t>
  </si>
  <si>
    <t>glue</t>
  </si>
  <si>
    <t>holepuncher</t>
  </si>
  <si>
    <t>iron</t>
  </si>
  <si>
    <t xml:space="preserve">lamp </t>
  </si>
  <si>
    <t>phone</t>
  </si>
  <si>
    <t>Mean</t>
  </si>
  <si>
    <t>Measurement</t>
  </si>
  <si>
    <t>N/A</t>
  </si>
  <si>
    <t>Processor</t>
  </si>
  <si>
    <t>Intel(R) Core(TM) i7-9750H CPU @ 2.60GHz 2.59 GHz</t>
  </si>
  <si>
    <t xml:space="preserve">Installed RAM </t>
  </si>
  <si>
    <t>16.0 GB</t>
  </si>
  <si>
    <t>System type</t>
  </si>
  <si>
    <t>64-bit operating system, x64-based processor</t>
  </si>
  <si>
    <t xml:space="preserve">GPU </t>
  </si>
  <si>
    <t>NVIDIA GeForce RTX 2060 @6.0GB Memory</t>
  </si>
  <si>
    <r>
      <rPr>
        <b/>
        <sz val="11"/>
        <color theme="1"/>
        <rFont val="Calibri"/>
        <family val="2"/>
        <scheme val="minor"/>
      </rPr>
      <t>μ</t>
    </r>
    <r>
      <rPr>
        <sz val="11"/>
        <color theme="1"/>
        <rFont val="Calibri"/>
        <family val="2"/>
        <scheme val="minor"/>
      </rPr>
      <t xml:space="preserve"> [mm]</t>
    </r>
  </si>
  <si>
    <r>
      <rPr>
        <b/>
        <sz val="11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 xml:space="preserve"> [mm]</t>
    </r>
  </si>
  <si>
    <t xml:space="preserve">FPS </t>
  </si>
  <si>
    <t>Iterations</t>
  </si>
  <si>
    <t>RANSAC</t>
  </si>
  <si>
    <t>Accumulator Space</t>
  </si>
  <si>
    <t xml:space="preserve">RANSAC V2 </t>
  </si>
  <si>
    <t>RANSAC 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</si>
</sst>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25" xfId="0" applyFont="1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591B-0472-4411-9E5F-B9ABBE742FDE}">
  <dimension ref="C1:S34"/>
  <sheetViews>
    <sheetView tabSelected="1" topLeftCell="B16" zoomScaleNormal="95" workbookViewId="0">
      <selection activeCell="I37" sqref="I37"/>
    </sheetView>
  </sheetViews>
  <sheetFormatPr defaultRowHeight="14.4" x14ac:dyDescent="0.55000000000000004"/>
  <cols>
    <col min="3" max="3" width="11.89453125" customWidth="1"/>
    <col min="4" max="4" width="16.5234375" customWidth="1"/>
    <col min="5" max="5" width="23.578125" customWidth="1"/>
    <col min="6" max="6" width="11.578125" bestFit="1" customWidth="1"/>
    <col min="14" max="14" width="10.62890625" customWidth="1"/>
    <col min="15" max="15" width="10.26171875" customWidth="1"/>
    <col min="19" max="19" width="11.578125" bestFit="1" customWidth="1"/>
    <col min="20" max="20" width="8.83984375" customWidth="1"/>
  </cols>
  <sheetData>
    <row r="1" spans="3:19" x14ac:dyDescent="0.55000000000000004">
      <c r="C1" s="1"/>
      <c r="D1" s="1"/>
      <c r="E1" s="1"/>
      <c r="F1" s="1"/>
      <c r="G1" s="1"/>
    </row>
    <row r="2" spans="3:19" ht="14.7" thickBot="1" x14ac:dyDescent="0.6">
      <c r="C2" s="48"/>
      <c r="D2" s="48"/>
      <c r="E2" s="48"/>
      <c r="G2" s="1"/>
    </row>
    <row r="3" spans="3:19" ht="14.7" thickBot="1" x14ac:dyDescent="0.6">
      <c r="C3" s="49"/>
      <c r="D3" s="49"/>
      <c r="E3" s="49"/>
      <c r="F3" s="42" t="s">
        <v>1</v>
      </c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4"/>
    </row>
    <row r="4" spans="3:19" ht="14.7" thickBot="1" x14ac:dyDescent="0.6">
      <c r="C4" s="12" t="s">
        <v>0</v>
      </c>
      <c r="D4" s="11" t="s">
        <v>29</v>
      </c>
      <c r="E4" s="13" t="s">
        <v>16</v>
      </c>
      <c r="F4" s="3" t="s">
        <v>2</v>
      </c>
      <c r="G4" s="2" t="s">
        <v>7</v>
      </c>
      <c r="H4" s="2" t="s">
        <v>6</v>
      </c>
      <c r="I4" s="2" t="s">
        <v>3</v>
      </c>
      <c r="J4" s="2" t="s">
        <v>4</v>
      </c>
      <c r="K4" s="2" t="s">
        <v>8</v>
      </c>
      <c r="L4" s="2" t="s">
        <v>5</v>
      </c>
      <c r="M4" s="2" t="s">
        <v>9</v>
      </c>
      <c r="N4" s="2" t="s">
        <v>10</v>
      </c>
      <c r="O4" s="2" t="s">
        <v>11</v>
      </c>
      <c r="P4" s="2" t="s">
        <v>12</v>
      </c>
      <c r="Q4" s="2" t="s">
        <v>13</v>
      </c>
      <c r="R4" s="2" t="s">
        <v>14</v>
      </c>
      <c r="S4" s="16" t="s">
        <v>15</v>
      </c>
    </row>
    <row r="5" spans="3:19" ht="14.7" thickTop="1" x14ac:dyDescent="0.55000000000000004">
      <c r="C5" s="45" t="s">
        <v>31</v>
      </c>
      <c r="D5" s="36" t="s">
        <v>17</v>
      </c>
      <c r="E5" s="4" t="s">
        <v>26</v>
      </c>
      <c r="F5" s="26">
        <v>20.8357692366184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>
        <f>AVERAGE(F5:R5)</f>
        <v>20.8357692366184</v>
      </c>
    </row>
    <row r="6" spans="3:19" x14ac:dyDescent="0.55000000000000004">
      <c r="C6" s="46"/>
      <c r="D6" s="37"/>
      <c r="E6" s="14" t="s">
        <v>27</v>
      </c>
      <c r="F6" s="20">
        <v>38.7509907094704</v>
      </c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2">
        <f t="shared" ref="S6:S7" si="0">AVERAGE(F6:R6)</f>
        <v>38.7509907094704</v>
      </c>
    </row>
    <row r="7" spans="3:19" ht="15.6" customHeight="1" thickBot="1" x14ac:dyDescent="0.6">
      <c r="C7" s="47"/>
      <c r="D7" s="38"/>
      <c r="E7" s="32" t="s">
        <v>28</v>
      </c>
      <c r="F7" s="23">
        <v>0.255137442828757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5">
        <f t="shared" si="0"/>
        <v>0.255137442828757</v>
      </c>
    </row>
    <row r="8" spans="3:19" x14ac:dyDescent="0.55000000000000004">
      <c r="C8" s="33" t="s">
        <v>30</v>
      </c>
      <c r="D8" s="36">
        <v>250</v>
      </c>
      <c r="E8" s="4" t="s">
        <v>26</v>
      </c>
      <c r="F8" s="29">
        <v>15.2579498250239</v>
      </c>
      <c r="G8" s="30">
        <v>13.8894425630324</v>
      </c>
      <c r="H8" s="30">
        <v>12.2131002946075</v>
      </c>
      <c r="I8" s="30">
        <v>11.933779809728099</v>
      </c>
      <c r="J8" s="30">
        <v>13.5559384516727</v>
      </c>
      <c r="K8" s="30">
        <v>14.208875268467301</v>
      </c>
      <c r="L8" s="30">
        <v>14.208875268467001</v>
      </c>
      <c r="M8" s="30">
        <v>15.618588042097601</v>
      </c>
      <c r="N8" s="30">
        <v>17.047116872577401</v>
      </c>
      <c r="O8" s="30">
        <v>13.3401754569961</v>
      </c>
      <c r="P8" s="30">
        <v>14.5888549133733</v>
      </c>
      <c r="Q8" s="30">
        <v>12.9388529884313</v>
      </c>
      <c r="R8" s="30">
        <v>13.9797918590821</v>
      </c>
      <c r="S8" s="31">
        <f>AVERAGE(F8:R8)</f>
        <v>14.060103201042823</v>
      </c>
    </row>
    <row r="9" spans="3:19" x14ac:dyDescent="0.55000000000000004">
      <c r="C9" s="34"/>
      <c r="D9" s="37"/>
      <c r="E9" s="14" t="s">
        <v>27</v>
      </c>
      <c r="F9" s="20">
        <v>36.007591093259997</v>
      </c>
      <c r="G9" s="21">
        <v>30.809257771572401</v>
      </c>
      <c r="H9" s="21">
        <v>27.524958711838099</v>
      </c>
      <c r="I9" s="21">
        <v>26.2778013925275</v>
      </c>
      <c r="J9" s="21">
        <v>33.553925897732803</v>
      </c>
      <c r="K9" s="21">
        <v>32.949419322520001</v>
      </c>
      <c r="L9" s="21">
        <v>31.788898971145301</v>
      </c>
      <c r="M9" s="21">
        <v>35.484484433248198</v>
      </c>
      <c r="N9" s="21">
        <v>40.554051842369397</v>
      </c>
      <c r="O9" s="21">
        <v>28.4793229806474</v>
      </c>
      <c r="P9" s="21">
        <v>33.117750160150401</v>
      </c>
      <c r="Q9" s="21">
        <v>28.169753510256701</v>
      </c>
      <c r="R9" s="21">
        <v>32.300725583296703</v>
      </c>
      <c r="S9" s="22">
        <f t="shared" ref="S9:S10" si="1">AVERAGE(F9:R9)</f>
        <v>32.078303205428071</v>
      </c>
    </row>
    <row r="10" spans="3:19" ht="14.7" thickBot="1" x14ac:dyDescent="0.6">
      <c r="C10" s="35"/>
      <c r="D10" s="38"/>
      <c r="E10" s="15" t="s">
        <v>28</v>
      </c>
      <c r="F10" s="23">
        <v>36.321426777594802</v>
      </c>
      <c r="G10" s="24">
        <v>59.356244602183601</v>
      </c>
      <c r="H10" s="24">
        <v>63.717504470954196</v>
      </c>
      <c r="I10" s="24">
        <v>61.5874647929286</v>
      </c>
      <c r="J10" s="24">
        <v>69.609719767732003</v>
      </c>
      <c r="K10" s="24">
        <v>55.952106638127397</v>
      </c>
      <c r="L10" s="24">
        <v>70.786277822820594</v>
      </c>
      <c r="M10" s="24">
        <v>65.431427802225301</v>
      </c>
      <c r="N10" s="24">
        <v>69.733454706340794</v>
      </c>
      <c r="O10" s="24">
        <v>65.767677787038096</v>
      </c>
      <c r="P10" s="24">
        <v>57.106003646326201</v>
      </c>
      <c r="Q10" s="24">
        <v>51.195583682249797</v>
      </c>
      <c r="R10" s="24">
        <v>60.994540057047999</v>
      </c>
      <c r="S10" s="25">
        <f t="shared" si="1"/>
        <v>60.581494811813023</v>
      </c>
    </row>
    <row r="11" spans="3:19" ht="15.3" customHeight="1" x14ac:dyDescent="0.55000000000000004">
      <c r="C11" s="42" t="s">
        <v>30</v>
      </c>
      <c r="D11" s="36">
        <v>500</v>
      </c>
      <c r="E11" s="4" t="s">
        <v>26</v>
      </c>
      <c r="F11" s="29">
        <v>14.473098783219999</v>
      </c>
      <c r="G11" s="30">
        <v>13.784988630000001</v>
      </c>
      <c r="H11" s="30">
        <v>12.253436949944</v>
      </c>
      <c r="I11" s="30">
        <v>11.8793643619059</v>
      </c>
      <c r="J11" s="30">
        <v>12.714234594484999</v>
      </c>
      <c r="K11" s="30">
        <v>13.7866702985361</v>
      </c>
      <c r="L11" s="30">
        <v>13.8497554447287</v>
      </c>
      <c r="M11" s="30">
        <v>14.486417064798699</v>
      </c>
      <c r="N11" s="30">
        <v>16.26866255701</v>
      </c>
      <c r="O11" s="30">
        <v>12.716802357971799</v>
      </c>
      <c r="P11" s="30">
        <v>14.161436001371399</v>
      </c>
      <c r="Q11" s="30">
        <v>12.316089735681601</v>
      </c>
      <c r="R11" s="30">
        <v>13.3009434030145</v>
      </c>
      <c r="S11" s="31">
        <f>AVERAGE(F11:R11)</f>
        <v>13.537838475589826</v>
      </c>
    </row>
    <row r="12" spans="3:19" ht="15.3" customHeight="1" x14ac:dyDescent="0.55000000000000004">
      <c r="C12" s="50"/>
      <c r="D12" s="37"/>
      <c r="E12" s="14" t="s">
        <v>27</v>
      </c>
      <c r="F12" s="20">
        <v>33.668201126169997</v>
      </c>
      <c r="G12" s="21">
        <v>30.465380297999999</v>
      </c>
      <c r="H12" s="21">
        <v>28.098478461999999</v>
      </c>
      <c r="I12" s="21">
        <v>26.178043661332602</v>
      </c>
      <c r="J12" s="21">
        <v>30.9143664349616</v>
      </c>
      <c r="K12" s="21">
        <v>31.814189153648702</v>
      </c>
      <c r="L12" s="21">
        <v>30.4880106050955</v>
      </c>
      <c r="M12" s="21">
        <v>32.491673343880997</v>
      </c>
      <c r="N12" s="21">
        <v>38.636420840521801</v>
      </c>
      <c r="O12" s="21">
        <v>26.516330666959998</v>
      </c>
      <c r="P12" s="21">
        <v>32.149385766037</v>
      </c>
      <c r="Q12" s="21">
        <v>26.601271392099999</v>
      </c>
      <c r="R12" s="21">
        <v>30.292243249253001</v>
      </c>
      <c r="S12" s="22">
        <f t="shared" ref="S12:S16" si="2">AVERAGE(F12:R12)</f>
        <v>30.63953807692009</v>
      </c>
    </row>
    <row r="13" spans="3:19" ht="15.3" customHeight="1" thickBot="1" x14ac:dyDescent="0.6">
      <c r="C13" s="51"/>
      <c r="D13" s="38"/>
      <c r="E13" s="32" t="s">
        <v>28</v>
      </c>
      <c r="F13" s="23">
        <v>33.579394823702998</v>
      </c>
      <c r="G13" s="24">
        <v>43.624076034566002</v>
      </c>
      <c r="H13" s="24">
        <v>48.506127313024102</v>
      </c>
      <c r="I13" s="24">
        <v>46.330320125130001</v>
      </c>
      <c r="J13" s="24">
        <v>58.295194051697997</v>
      </c>
      <c r="K13" s="24">
        <v>36.087328961261001</v>
      </c>
      <c r="L13" s="24">
        <v>45.136475856270003</v>
      </c>
      <c r="M13" s="24">
        <v>42.816029131302002</v>
      </c>
      <c r="N13" s="24">
        <v>46.139884693398997</v>
      </c>
      <c r="O13" s="24">
        <v>44.376099902379998</v>
      </c>
      <c r="P13" s="24">
        <v>40.426089162799997</v>
      </c>
      <c r="Q13" s="24">
        <v>36.677750600000003</v>
      </c>
      <c r="R13" s="24">
        <v>43.838150793769998</v>
      </c>
      <c r="S13" s="25">
        <f t="shared" si="2"/>
        <v>43.525609342254079</v>
      </c>
    </row>
    <row r="14" spans="3:19" ht="15.6" customHeight="1" x14ac:dyDescent="0.55000000000000004">
      <c r="C14" s="33" t="s">
        <v>30</v>
      </c>
      <c r="D14" s="36">
        <v>1000</v>
      </c>
      <c r="E14" s="4" t="s">
        <v>26</v>
      </c>
      <c r="F14" s="29">
        <v>13.9411216935538</v>
      </c>
      <c r="G14" s="30">
        <v>13.341165514345301</v>
      </c>
      <c r="H14" s="30">
        <v>12.4377292404464</v>
      </c>
      <c r="I14" s="30">
        <v>11.5670007071123</v>
      </c>
      <c r="J14" s="30">
        <v>12.3205880824347</v>
      </c>
      <c r="K14" s="30">
        <v>13.721707729968299</v>
      </c>
      <c r="L14" s="30">
        <v>13.610719573013499</v>
      </c>
      <c r="M14" s="30">
        <v>14.482272703283099</v>
      </c>
      <c r="N14" s="30">
        <v>15.8771869353236</v>
      </c>
      <c r="O14" s="30">
        <v>12.5890409686394</v>
      </c>
      <c r="P14" s="30">
        <v>13.707557106259999</v>
      </c>
      <c r="Q14" s="30">
        <v>12.362443581853301</v>
      </c>
      <c r="R14" s="30">
        <v>13.2890140514276</v>
      </c>
      <c r="S14" s="31">
        <f t="shared" si="2"/>
        <v>13.326734452897025</v>
      </c>
    </row>
    <row r="15" spans="3:19" x14ac:dyDescent="0.55000000000000004">
      <c r="C15" s="34"/>
      <c r="D15" s="37"/>
      <c r="E15" s="14" t="s">
        <v>27</v>
      </c>
      <c r="F15" s="20">
        <v>32.092260673720503</v>
      </c>
      <c r="G15" s="21">
        <v>29.129212550850902</v>
      </c>
      <c r="H15" s="21">
        <v>28.721169585001899</v>
      </c>
      <c r="I15" s="21">
        <v>25.0068237129774</v>
      </c>
      <c r="J15" s="21">
        <v>29.414372423279399</v>
      </c>
      <c r="K15" s="21">
        <v>31.717190980833301</v>
      </c>
      <c r="L15" s="21">
        <v>30.077672250135699</v>
      </c>
      <c r="M15" s="21">
        <v>32.368572667403399</v>
      </c>
      <c r="N15" s="21">
        <v>37.301443787061103</v>
      </c>
      <c r="O15" s="21">
        <v>26.0394450322691</v>
      </c>
      <c r="P15" s="21">
        <v>30.6714604049419</v>
      </c>
      <c r="Q15" s="21">
        <v>26.568967959635199</v>
      </c>
      <c r="R15" s="21">
        <v>30.418710030408999</v>
      </c>
      <c r="S15" s="22">
        <f t="shared" si="2"/>
        <v>29.963638619886055</v>
      </c>
    </row>
    <row r="16" spans="3:19" ht="14.7" thickBot="1" x14ac:dyDescent="0.6">
      <c r="C16" s="35"/>
      <c r="D16" s="38"/>
      <c r="E16" s="15" t="s">
        <v>28</v>
      </c>
      <c r="F16" s="23">
        <v>29.320164078299999</v>
      </c>
      <c r="G16" s="24">
        <v>34.094169390906998</v>
      </c>
      <c r="H16" s="24">
        <v>37.439611833150998</v>
      </c>
      <c r="I16" s="24">
        <v>31.194258684407899</v>
      </c>
      <c r="J16" s="24">
        <v>40.216986455793901</v>
      </c>
      <c r="K16" s="24">
        <v>28.997378507658599</v>
      </c>
      <c r="L16" s="24">
        <v>42.275803939016399</v>
      </c>
      <c r="M16" s="24">
        <v>38.976863125440097</v>
      </c>
      <c r="N16" s="24">
        <v>42.958250240805</v>
      </c>
      <c r="O16" s="24">
        <v>40.183706140311003</v>
      </c>
      <c r="P16" s="24">
        <v>31.361513465251001</v>
      </c>
      <c r="Q16" s="24">
        <v>26.9567406504503</v>
      </c>
      <c r="R16" s="24">
        <v>37.50689135084</v>
      </c>
      <c r="S16" s="25">
        <f t="shared" si="2"/>
        <v>35.498641374025553</v>
      </c>
    </row>
    <row r="17" spans="3:19" x14ac:dyDescent="0.55000000000000004">
      <c r="C17" s="33" t="s">
        <v>30</v>
      </c>
      <c r="D17" s="36">
        <v>2000</v>
      </c>
      <c r="E17" s="4" t="s">
        <v>26</v>
      </c>
      <c r="F17" s="29">
        <v>14.026626875042201</v>
      </c>
      <c r="G17" s="30">
        <v>13.4570781322239</v>
      </c>
      <c r="H17" s="30">
        <v>11.7758160155364</v>
      </c>
      <c r="I17" s="30">
        <v>11.198757169760301</v>
      </c>
      <c r="J17" s="30">
        <v>11.975023165501</v>
      </c>
      <c r="K17" s="21">
        <v>13.898509930472599</v>
      </c>
      <c r="L17" s="30">
        <v>13.5315631012752</v>
      </c>
      <c r="M17" s="30">
        <v>14.222507884295201</v>
      </c>
      <c r="N17" s="30">
        <v>15.1979772817109</v>
      </c>
      <c r="O17" s="30">
        <v>12.4130481637744</v>
      </c>
      <c r="P17" s="30">
        <v>13.4149294304819</v>
      </c>
      <c r="Q17" s="30">
        <v>12.134921516747299</v>
      </c>
      <c r="R17" s="30">
        <v>12.925436548047999</v>
      </c>
      <c r="S17" s="31">
        <f t="shared" ref="S17:S25" si="3">AVERAGE(F17:R17)</f>
        <v>13.090168862682255</v>
      </c>
    </row>
    <row r="18" spans="3:19" x14ac:dyDescent="0.55000000000000004">
      <c r="C18" s="34"/>
      <c r="D18" s="37"/>
      <c r="E18" s="14" t="s">
        <v>27</v>
      </c>
      <c r="F18" s="20">
        <v>33.101118633239601</v>
      </c>
      <c r="G18" s="21">
        <v>29.270702188188999</v>
      </c>
      <c r="H18" s="21">
        <v>26.066939513045799</v>
      </c>
      <c r="I18" s="21">
        <v>24.049728759140201</v>
      </c>
      <c r="J18" s="21">
        <v>28.075534795959999</v>
      </c>
      <c r="K18">
        <v>32.085330312579003</v>
      </c>
      <c r="L18" s="21">
        <v>29.874237446497599</v>
      </c>
      <c r="M18" s="21">
        <v>31.7639949120314</v>
      </c>
      <c r="N18" s="21">
        <v>35.728048005253697</v>
      </c>
      <c r="O18" s="21">
        <v>25.609811733321099</v>
      </c>
      <c r="P18" s="21">
        <v>29.412230293083901</v>
      </c>
      <c r="Q18" s="21">
        <v>25.820910468458301</v>
      </c>
      <c r="R18" s="21">
        <v>28.8665038716161</v>
      </c>
      <c r="S18" s="22">
        <f t="shared" si="3"/>
        <v>29.209622379416594</v>
      </c>
    </row>
    <row r="19" spans="3:19" ht="14.7" thickBot="1" x14ac:dyDescent="0.6">
      <c r="C19" s="35"/>
      <c r="D19" s="38"/>
      <c r="E19" s="32" t="s">
        <v>28</v>
      </c>
      <c r="F19" s="23">
        <v>21.785140471042201</v>
      </c>
      <c r="G19" s="24">
        <v>20.992015827133699</v>
      </c>
      <c r="H19" s="24">
        <v>23.036418226145699</v>
      </c>
      <c r="I19" s="24">
        <v>22.563472987173299</v>
      </c>
      <c r="J19" s="24">
        <v>29.468472398975798</v>
      </c>
      <c r="K19" s="24">
        <v>20.5178137387337</v>
      </c>
      <c r="L19" s="24">
        <v>30.589114023651099</v>
      </c>
      <c r="M19" s="24">
        <v>27.329654979041699</v>
      </c>
      <c r="N19" s="24">
        <v>30.081854235274001</v>
      </c>
      <c r="O19" s="24">
        <v>27.627078112561399</v>
      </c>
      <c r="P19" s="24">
        <v>21.3571086047411</v>
      </c>
      <c r="Q19" s="24">
        <v>18.1659087635677</v>
      </c>
      <c r="R19" s="24">
        <v>22.1363021348111</v>
      </c>
      <c r="S19" s="25">
        <f t="shared" si="3"/>
        <v>24.280796500219424</v>
      </c>
    </row>
    <row r="20" spans="3:19" x14ac:dyDescent="0.55000000000000004">
      <c r="C20" s="39" t="s">
        <v>32</v>
      </c>
      <c r="D20" s="36">
        <v>2500</v>
      </c>
      <c r="E20" s="4" t="s">
        <v>26</v>
      </c>
      <c r="F20" s="29">
        <v>12.198175763007599</v>
      </c>
      <c r="G20" s="30">
        <v>13.078065673812</v>
      </c>
      <c r="H20" s="30">
        <v>10.9227935444588</v>
      </c>
      <c r="I20" s="30">
        <v>10.7697712310007</v>
      </c>
      <c r="J20" s="30">
        <v>10.6376466175844</v>
      </c>
      <c r="K20" s="21"/>
      <c r="L20" s="30"/>
      <c r="M20" s="30"/>
      <c r="N20" s="30"/>
      <c r="O20" s="30"/>
      <c r="P20" s="30"/>
      <c r="Q20" s="30"/>
      <c r="R20" s="30"/>
      <c r="S20" s="31">
        <f t="shared" si="3"/>
        <v>11.521290565972702</v>
      </c>
    </row>
    <row r="21" spans="3:19" x14ac:dyDescent="0.55000000000000004">
      <c r="C21" s="40"/>
      <c r="D21" s="37"/>
      <c r="E21" s="14" t="s">
        <v>27</v>
      </c>
      <c r="F21" s="20">
        <v>26.423668388166298</v>
      </c>
      <c r="G21" s="21">
        <v>27.887348963716299</v>
      </c>
      <c r="H21" s="21">
        <v>22.934899385295701</v>
      </c>
      <c r="I21" s="21">
        <v>22.616705528970801</v>
      </c>
      <c r="J21" s="21">
        <v>23.462561170385101</v>
      </c>
      <c r="L21" s="21"/>
      <c r="M21" s="21"/>
      <c r="N21" s="21"/>
      <c r="O21" s="21"/>
      <c r="P21" s="21"/>
      <c r="Q21" s="21"/>
      <c r="R21" s="21"/>
      <c r="S21" s="22">
        <f t="shared" si="3"/>
        <v>24.665036687306841</v>
      </c>
    </row>
    <row r="22" spans="3:19" ht="14.7" thickBot="1" x14ac:dyDescent="0.6">
      <c r="C22" s="41"/>
      <c r="D22" s="38"/>
      <c r="E22" s="32" t="s">
        <v>28</v>
      </c>
      <c r="F22" s="23">
        <v>17.1466507938541</v>
      </c>
      <c r="G22" s="24">
        <v>12.929729666828299</v>
      </c>
      <c r="H22" s="24">
        <v>12.2657172398659</v>
      </c>
      <c r="I22" s="24">
        <v>16.494233203716099</v>
      </c>
      <c r="J22" s="24">
        <v>20.1068226524804</v>
      </c>
      <c r="K22" s="24"/>
      <c r="L22" s="24"/>
      <c r="M22" s="24"/>
      <c r="N22" s="24"/>
      <c r="O22" s="24"/>
      <c r="P22" s="24"/>
      <c r="Q22" s="24"/>
      <c r="R22" s="24"/>
      <c r="S22" s="25">
        <f t="shared" si="3"/>
        <v>15.788630711348961</v>
      </c>
    </row>
    <row r="23" spans="3:19" x14ac:dyDescent="0.55000000000000004">
      <c r="C23" s="33" t="s">
        <v>30</v>
      </c>
      <c r="D23" s="36">
        <v>2500</v>
      </c>
      <c r="E23" s="4" t="s">
        <v>26</v>
      </c>
      <c r="F23" s="29">
        <v>14.013253537788801</v>
      </c>
      <c r="G23" s="30">
        <v>13.0636885516956</v>
      </c>
      <c r="H23" s="30">
        <v>11.917136225173</v>
      </c>
      <c r="I23" s="30">
        <v>11.352098790374599</v>
      </c>
      <c r="J23" s="30">
        <v>11.7680950893876</v>
      </c>
      <c r="K23" s="30">
        <v>13.060477922152</v>
      </c>
      <c r="L23" s="30">
        <v>13.4807250758618</v>
      </c>
      <c r="M23" s="30">
        <v>13.804859288043</v>
      </c>
      <c r="N23" s="30">
        <v>15.084048105210901</v>
      </c>
      <c r="O23" s="30">
        <v>12.563618054499599</v>
      </c>
      <c r="P23" s="30">
        <v>13.417431229914</v>
      </c>
      <c r="Q23" s="30">
        <v>12.2977647256703</v>
      </c>
      <c r="R23" s="30">
        <v>12.584944103813701</v>
      </c>
      <c r="S23" s="31">
        <f t="shared" si="3"/>
        <v>12.954472361506532</v>
      </c>
    </row>
    <row r="24" spans="3:19" x14ac:dyDescent="0.55000000000000004">
      <c r="C24" s="34"/>
      <c r="D24" s="37"/>
      <c r="E24" s="14" t="s">
        <v>27</v>
      </c>
      <c r="F24" s="20">
        <v>32.269414549650698</v>
      </c>
      <c r="G24" s="21">
        <v>28.251527333200801</v>
      </c>
      <c r="H24" s="21">
        <v>26.590333889643201</v>
      </c>
      <c r="I24" s="21">
        <v>24.797236899409199</v>
      </c>
      <c r="J24" s="21">
        <v>27.680016066609401</v>
      </c>
      <c r="K24" s="21">
        <v>29.644642016392599</v>
      </c>
      <c r="L24" s="21">
        <v>29.693419729993099</v>
      </c>
      <c r="M24" s="21">
        <v>30.4804520818257</v>
      </c>
      <c r="N24" s="21">
        <v>35.189468229924799</v>
      </c>
      <c r="O24" s="21">
        <v>26.155687977416701</v>
      </c>
      <c r="P24" s="21">
        <v>29.911560613294998</v>
      </c>
      <c r="Q24" s="21">
        <v>26.567051062168598</v>
      </c>
      <c r="R24" s="21">
        <v>27.822881689717001</v>
      </c>
      <c r="S24" s="22">
        <f t="shared" si="3"/>
        <v>28.850284010711295</v>
      </c>
    </row>
    <row r="25" spans="3:19" ht="14.7" thickBot="1" x14ac:dyDescent="0.6">
      <c r="C25" s="35"/>
      <c r="D25" s="38"/>
      <c r="E25" s="32" t="s">
        <v>28</v>
      </c>
      <c r="F25" s="23">
        <v>22.205589272440001</v>
      </c>
      <c r="G25" s="24">
        <v>17.345865517232301</v>
      </c>
      <c r="H25" s="24">
        <v>20.1785662256666</v>
      </c>
      <c r="I25" s="24">
        <v>19.594709773197199</v>
      </c>
      <c r="J25" s="24">
        <v>23.4489472679371</v>
      </c>
      <c r="K25" s="24">
        <v>16.570517293859702</v>
      </c>
      <c r="L25" s="24">
        <v>24.787772445548999</v>
      </c>
      <c r="M25" s="24">
        <v>23.0405532017352</v>
      </c>
      <c r="N25" s="24">
        <v>26.624547044432202</v>
      </c>
      <c r="O25" s="24">
        <v>21.5252258514865</v>
      </c>
      <c r="P25" s="24">
        <v>16.550279936399999</v>
      </c>
      <c r="Q25" s="24">
        <v>13.2549433777058</v>
      </c>
      <c r="R25" s="24">
        <v>19.5619505382112</v>
      </c>
      <c r="S25" s="25">
        <f t="shared" si="3"/>
        <v>20.360728288142525</v>
      </c>
    </row>
    <row r="26" spans="3:19" x14ac:dyDescent="0.55000000000000004">
      <c r="C26" s="33" t="s">
        <v>30</v>
      </c>
      <c r="D26" s="36">
        <v>5000</v>
      </c>
      <c r="E26" s="4" t="s">
        <v>26</v>
      </c>
      <c r="F26" s="17">
        <v>13.9437823211886</v>
      </c>
      <c r="G26" s="18">
        <v>13.4464997621479</v>
      </c>
      <c r="H26" s="18">
        <v>11.949314427426099</v>
      </c>
      <c r="I26" s="18">
        <v>11.225641897522999</v>
      </c>
      <c r="J26" s="18">
        <v>11.828817100145599</v>
      </c>
      <c r="K26" s="18">
        <v>13.318455075444</v>
      </c>
      <c r="L26" s="18">
        <v>13.6262151133018</v>
      </c>
      <c r="M26" s="18">
        <v>13.9667213897692</v>
      </c>
      <c r="N26" s="18">
        <v>15.1925937645436</v>
      </c>
      <c r="O26" s="18">
        <v>12.0834596661792</v>
      </c>
      <c r="P26" s="18">
        <v>13.457326849785201</v>
      </c>
      <c r="Q26" s="18">
        <v>11.868575738461599</v>
      </c>
      <c r="R26" s="18">
        <v>12.1435809348155</v>
      </c>
      <c r="S26" s="19">
        <f t="shared" ref="S26:S28" si="4">AVERAGE(F26:R26)</f>
        <v>12.926998772363948</v>
      </c>
    </row>
    <row r="27" spans="3:19" x14ac:dyDescent="0.55000000000000004">
      <c r="C27" s="34"/>
      <c r="D27" s="37"/>
      <c r="E27" s="14" t="s">
        <v>27</v>
      </c>
      <c r="F27" s="20">
        <v>32.0620017614985</v>
      </c>
      <c r="G27" s="21">
        <v>29.116858344954998</v>
      </c>
      <c r="H27" s="21">
        <v>26.844220247288899</v>
      </c>
      <c r="I27" s="21">
        <v>24.208233173162899</v>
      </c>
      <c r="J27" s="21">
        <v>28.013597661773801</v>
      </c>
      <c r="K27" s="21">
        <v>30.478804100695999</v>
      </c>
      <c r="L27" s="21">
        <v>30.1817353918712</v>
      </c>
      <c r="M27" s="21">
        <v>30.6164916110639</v>
      </c>
      <c r="N27" s="21">
        <v>35.552375118900997</v>
      </c>
      <c r="O27" s="21">
        <v>24.731890100379101</v>
      </c>
      <c r="P27" s="21">
        <v>29.922409518357501</v>
      </c>
      <c r="Q27" s="21">
        <v>25.055876453474799</v>
      </c>
      <c r="R27" s="21">
        <v>26.3396189517468</v>
      </c>
      <c r="S27" s="22">
        <f t="shared" si="4"/>
        <v>28.701854802705334</v>
      </c>
    </row>
    <row r="28" spans="3:19" ht="14.7" thickBot="1" x14ac:dyDescent="0.6">
      <c r="C28" s="35"/>
      <c r="D28" s="38"/>
      <c r="E28" s="32" t="s">
        <v>28</v>
      </c>
      <c r="F28" s="23">
        <v>9.1364092633541798</v>
      </c>
      <c r="G28" s="24">
        <v>7.3980815659052404</v>
      </c>
      <c r="H28" s="24">
        <v>7.7093807603956099</v>
      </c>
      <c r="I28" s="24">
        <v>7.7093807603956002</v>
      </c>
      <c r="J28" s="24">
        <v>8.8948714583084101</v>
      </c>
      <c r="K28" s="24">
        <v>9.8665896077869402</v>
      </c>
      <c r="L28" s="24">
        <v>14.9290446269192</v>
      </c>
      <c r="M28" s="24">
        <v>12.2713536714478</v>
      </c>
      <c r="N28" s="24">
        <v>14.2873087430656</v>
      </c>
      <c r="O28" s="24">
        <v>13.5131169499045</v>
      </c>
      <c r="P28" s="24">
        <v>9.4224299341132003</v>
      </c>
      <c r="Q28" s="24">
        <v>7.8191390749528198</v>
      </c>
      <c r="R28" s="24">
        <v>10.7519242882088</v>
      </c>
      <c r="S28" s="25">
        <f t="shared" si="4"/>
        <v>10.285310054212147</v>
      </c>
    </row>
    <row r="29" spans="3:19" x14ac:dyDescent="0.55000000000000004">
      <c r="C29" s="33" t="s">
        <v>33</v>
      </c>
      <c r="D29" s="36">
        <v>5000</v>
      </c>
      <c r="E29" s="4" t="s">
        <v>26</v>
      </c>
      <c r="F29" s="17">
        <v>12.3918374286743</v>
      </c>
      <c r="G29" s="18">
        <v>13.0688407357479</v>
      </c>
      <c r="H29" s="18">
        <v>10.9521769894684</v>
      </c>
      <c r="I29" s="18">
        <v>10.6144070824729</v>
      </c>
      <c r="J29" s="18">
        <v>10.450640535060099</v>
      </c>
      <c r="K29" s="18">
        <v>13.168913643252401</v>
      </c>
      <c r="L29" s="18">
        <v>12.590746611443301</v>
      </c>
      <c r="M29" s="18">
        <v>12.6693770401405</v>
      </c>
      <c r="N29" s="18">
        <v>12.9614189003153</v>
      </c>
      <c r="O29" s="18">
        <v>11.6021062589679</v>
      </c>
      <c r="P29" s="18">
        <v>12.5830122577986</v>
      </c>
      <c r="Q29" s="18">
        <v>11.65506585254</v>
      </c>
      <c r="R29" s="18">
        <v>11.512274255513599</v>
      </c>
      <c r="S29" s="19">
        <f t="shared" ref="S29" si="5">AVERAGE(F29:R29)</f>
        <v>12.016985968568861</v>
      </c>
    </row>
    <row r="30" spans="3:19" x14ac:dyDescent="0.55000000000000004">
      <c r="C30" s="34"/>
      <c r="D30" s="37"/>
      <c r="E30" s="14" t="s">
        <v>27</v>
      </c>
      <c r="F30" s="20">
        <v>26.946575655135799</v>
      </c>
      <c r="G30" s="21">
        <v>27.833236049362998</v>
      </c>
      <c r="H30" s="21">
        <v>23.0592403477287</v>
      </c>
      <c r="I30" s="21">
        <v>22.228841785879698</v>
      </c>
      <c r="J30" s="21">
        <v>22.8873138912694</v>
      </c>
      <c r="K30" s="21">
        <v>29.277433896573498</v>
      </c>
      <c r="L30" s="21">
        <v>26.743831035088</v>
      </c>
      <c r="M30" s="21">
        <v>26.316314585363202</v>
      </c>
      <c r="N30" s="21">
        <v>28.875214952878999</v>
      </c>
      <c r="O30" s="21">
        <v>23.2155147612776</v>
      </c>
      <c r="P30" s="21">
        <v>26.804720962302302</v>
      </c>
      <c r="Q30" s="21">
        <v>24.184073538553601</v>
      </c>
      <c r="R30" s="21">
        <v>24.051374098412001</v>
      </c>
      <c r="S30" s="22">
        <f>AVERAGE(F30:R30)</f>
        <v>25.571052735371214</v>
      </c>
    </row>
    <row r="31" spans="3:19" ht="14.7" thickBot="1" x14ac:dyDescent="0.6">
      <c r="C31" s="35"/>
      <c r="D31" s="38"/>
      <c r="E31" s="32" t="s">
        <v>28</v>
      </c>
      <c r="F31" s="23">
        <v>18.248754962616299</v>
      </c>
      <c r="G31" s="24">
        <v>15.5027772849954</v>
      </c>
      <c r="H31" s="24">
        <v>17.440115767625201</v>
      </c>
      <c r="I31" s="24">
        <v>15.4836951607464</v>
      </c>
      <c r="J31" s="24">
        <v>21.960680405525402</v>
      </c>
      <c r="K31" s="24">
        <v>11.541296472242699</v>
      </c>
      <c r="L31" s="24">
        <v>22.733139924617198</v>
      </c>
      <c r="M31" s="24">
        <v>17.177778425819898</v>
      </c>
      <c r="N31" s="24">
        <v>18.698271664604398</v>
      </c>
      <c r="O31" s="24">
        <v>17.398132350055999</v>
      </c>
      <c r="P31" s="24">
        <v>13.427380406409901</v>
      </c>
      <c r="Q31" s="24">
        <v>10.870491790062101</v>
      </c>
      <c r="R31" s="24">
        <v>16.147674813936401</v>
      </c>
      <c r="S31" s="25">
        <f>AVERAGE(F31:R31)</f>
        <v>16.663860725327481</v>
      </c>
    </row>
    <row r="32" spans="3:19" x14ac:dyDescent="0.55000000000000004">
      <c r="C32" s="33" t="s">
        <v>30</v>
      </c>
      <c r="D32" s="36">
        <v>10000</v>
      </c>
      <c r="E32" s="4" t="s">
        <v>26</v>
      </c>
      <c r="F32" s="17">
        <v>14.0070415065211</v>
      </c>
      <c r="G32" s="18">
        <v>13.1870521954766</v>
      </c>
      <c r="H32" s="18">
        <v>11.829065060121099</v>
      </c>
      <c r="I32" s="18">
        <v>11.267309157682501</v>
      </c>
      <c r="J32" s="18">
        <v>11.9186997912494</v>
      </c>
      <c r="K32" s="18">
        <v>13.0171303517428</v>
      </c>
      <c r="L32" s="18">
        <v>13.506404671900301</v>
      </c>
      <c r="M32" s="18">
        <v>14.2317512080689</v>
      </c>
      <c r="N32" s="18">
        <v>14.7334807687329</v>
      </c>
      <c r="O32" s="18">
        <v>12.1163063969395</v>
      </c>
      <c r="P32" s="18">
        <v>13.238087232116801</v>
      </c>
      <c r="Q32" s="18">
        <v>11.852436664686</v>
      </c>
      <c r="R32" s="18">
        <v>12.527911384079999</v>
      </c>
      <c r="S32" s="19">
        <f t="shared" ref="S32:S34" si="6">AVERAGE(F32:R32)</f>
        <v>12.879436645332147</v>
      </c>
    </row>
    <row r="33" spans="3:19" x14ac:dyDescent="0.55000000000000004">
      <c r="C33" s="34"/>
      <c r="D33" s="37"/>
      <c r="E33" s="14" t="s">
        <v>27</v>
      </c>
      <c r="F33" s="20">
        <v>32.626757866600002</v>
      </c>
      <c r="G33" s="21">
        <v>28.528767367907101</v>
      </c>
      <c r="H33" s="21">
        <v>26.573355533451402</v>
      </c>
      <c r="I33" s="21">
        <v>24.146638832891998</v>
      </c>
      <c r="J33" s="21">
        <v>28.427432080859202</v>
      </c>
      <c r="K33" s="21">
        <v>29.42541980607</v>
      </c>
      <c r="L33" s="21">
        <v>29.5177045369506</v>
      </c>
      <c r="M33" s="21">
        <v>31.550444558157</v>
      </c>
      <c r="N33" s="21">
        <v>34.102731061681503</v>
      </c>
      <c r="O33" s="21">
        <v>24.894265178019602</v>
      </c>
      <c r="P33" s="21">
        <v>29.43669140239</v>
      </c>
      <c r="Q33" s="21">
        <v>25.188736220507099</v>
      </c>
      <c r="R33" s="21">
        <v>27.649093667136999</v>
      </c>
      <c r="S33" s="22">
        <f t="shared" si="6"/>
        <v>28.620618316355579</v>
      </c>
    </row>
    <row r="34" spans="3:19" ht="14.7" thickBot="1" x14ac:dyDescent="0.6">
      <c r="C34" s="35"/>
      <c r="D34" s="38"/>
      <c r="E34" s="32" t="s">
        <v>28</v>
      </c>
      <c r="F34" s="23">
        <v>7.7841962281279997</v>
      </c>
      <c r="G34" s="24">
        <v>5.5007563755889102</v>
      </c>
      <c r="H34" s="24">
        <v>5.9357307496107596</v>
      </c>
      <c r="I34" s="24">
        <v>5.8710942850813002</v>
      </c>
      <c r="J34" s="24">
        <v>7.6351417285640002</v>
      </c>
      <c r="K34" s="24">
        <v>4.42451878560958</v>
      </c>
      <c r="L34" s="24">
        <v>7.2647650951438996</v>
      </c>
      <c r="M34" s="24">
        <v>6.2922729928740004</v>
      </c>
      <c r="N34" s="24">
        <v>7.2504268886537</v>
      </c>
      <c r="O34" s="24">
        <v>6.1041197383059096</v>
      </c>
      <c r="P34" s="24">
        <v>5.00454535147803</v>
      </c>
      <c r="Q34" s="24">
        <v>4.0683166887187996</v>
      </c>
      <c r="R34" s="24">
        <v>5.8236290122087002</v>
      </c>
      <c r="S34" s="25">
        <f t="shared" si="6"/>
        <v>6.0738087630742745</v>
      </c>
    </row>
  </sheetData>
  <mergeCells count="22">
    <mergeCell ref="C32:C34"/>
    <mergeCell ref="D32:D34"/>
    <mergeCell ref="F3:S3"/>
    <mergeCell ref="C5:C7"/>
    <mergeCell ref="C2:E3"/>
    <mergeCell ref="D5:D7"/>
    <mergeCell ref="C11:C13"/>
    <mergeCell ref="D11:D13"/>
    <mergeCell ref="C14:C16"/>
    <mergeCell ref="D14:D16"/>
    <mergeCell ref="C8:C10"/>
    <mergeCell ref="D8:D10"/>
    <mergeCell ref="C17:C19"/>
    <mergeCell ref="D17:D19"/>
    <mergeCell ref="C29:C31"/>
    <mergeCell ref="D29:D31"/>
    <mergeCell ref="C20:C22"/>
    <mergeCell ref="D20:D22"/>
    <mergeCell ref="C23:C25"/>
    <mergeCell ref="D23:D25"/>
    <mergeCell ref="C26:C28"/>
    <mergeCell ref="D26:D2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4CF2-902D-4CFA-8146-68B4FE060341}">
  <dimension ref="B2:C5"/>
  <sheetViews>
    <sheetView workbookViewId="0">
      <selection activeCell="E3" sqref="E3"/>
    </sheetView>
  </sheetViews>
  <sheetFormatPr defaultRowHeight="14.4" x14ac:dyDescent="0.55000000000000004"/>
  <cols>
    <col min="3" max="3" width="33.05078125" customWidth="1"/>
  </cols>
  <sheetData>
    <row r="2" spans="2:3" ht="86.4" x14ac:dyDescent="0.55000000000000004">
      <c r="B2" s="5" t="s">
        <v>18</v>
      </c>
      <c r="C2" s="6" t="s">
        <v>19</v>
      </c>
    </row>
    <row r="3" spans="2:3" ht="28.8" x14ac:dyDescent="0.55000000000000004">
      <c r="B3" s="7" t="s">
        <v>20</v>
      </c>
      <c r="C3" s="8" t="s">
        <v>21</v>
      </c>
    </row>
    <row r="4" spans="2:3" ht="72" x14ac:dyDescent="0.55000000000000004">
      <c r="B4" s="7" t="s">
        <v>22</v>
      </c>
      <c r="C4" s="8" t="s">
        <v>23</v>
      </c>
    </row>
    <row r="5" spans="2:3" ht="72" x14ac:dyDescent="0.55000000000000004">
      <c r="B5" s="9" t="s">
        <v>24</v>
      </c>
      <c r="C5" s="10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RANSAC</vt:lpstr>
      <vt:lpstr>Testing Environment 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Salass</dc:creator>
  <cp:lastModifiedBy>Liam Salass</cp:lastModifiedBy>
  <dcterms:created xsi:type="dcterms:W3CDTF">2023-08-18T17:36:34Z</dcterms:created>
  <dcterms:modified xsi:type="dcterms:W3CDTF">2023-11-06T14:20:12Z</dcterms:modified>
</cp:coreProperties>
</file>